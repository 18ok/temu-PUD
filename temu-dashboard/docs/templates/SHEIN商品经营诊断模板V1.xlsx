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  <Override PartName="/xl/worksheets/sheet8.xml" ContentType="application/vnd.openxmlformats-officedocument.spreadsheetml.worksheet+xml"/>
  <Override PartName="/xl/tables/table8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0_使用说明" sheetId="1" state="visible" r:id="rId1"/>
    <sheet xmlns:r="http://schemas.openxmlformats.org/officeDocument/2006/relationships" name="01_SHEIN商品基础" sheetId="2" state="visible" r:id="rId2"/>
    <sheet xmlns:r="http://schemas.openxmlformats.org/officeDocument/2006/relationships" name="02_SHEIN表现记录" sheetId="3" state="visible" r:id="rId3"/>
    <sheet xmlns:r="http://schemas.openxmlformats.org/officeDocument/2006/relationships" name="03_供货履约动作" sheetId="4" state="visible" r:id="rId4"/>
    <sheet xmlns:r="http://schemas.openxmlformats.org/officeDocument/2006/relationships" name="04_风险诊断" sheetId="5" state="visible" r:id="rId5"/>
    <sheet xmlns:r="http://schemas.openxmlformats.org/officeDocument/2006/relationships" name="05_机会假设池" sheetId="6" state="visible" r:id="rId6"/>
    <sheet xmlns:r="http://schemas.openxmlformats.org/officeDocument/2006/relationships" name="06_样品测试复盘" sheetId="7" state="visible" r:id="rId7"/>
    <sheet xmlns:r="http://schemas.openxmlformats.org/officeDocument/2006/relationships" name="07_诊断面板" sheetId="8" state="visible" r:id="rId8"/>
  </sheets>
  <definedNames>
    <definedName name="_xlnm._FilterDatabase" localSheetId="0" hidden="1">'00_使用说明'!$A$3:$D$10</definedName>
    <definedName name="_xlnm._FilterDatabase" localSheetId="1" hidden="1">'01_SHEIN商品基础'!$A$3:$X$5</definedName>
    <definedName name="_xlnm._FilterDatabase" localSheetId="2" hidden="1">'02_SHEIN表现记录'!$A$3:$V$5</definedName>
    <definedName name="_xlnm._FilterDatabase" localSheetId="3" hidden="1">'03_供货履约动作'!$A$3:$J$5</definedName>
    <definedName name="_xlnm._FilterDatabase" localSheetId="4" hidden="1">'04_风险诊断'!$A$3:$J$5</definedName>
    <definedName name="_xlnm._FilterDatabase" localSheetId="5" hidden="1">'05_机会假设池'!$A$3:$N$5</definedName>
    <definedName name="_xlnm._FilterDatabase" localSheetId="6" hidden="1">'06_样品测试复盘'!$A$3:$J$5</definedName>
    <definedName name="_xlnm._FilterDatabase" localSheetId="7" hidden="1">'07_诊断面板'!$A$3:$C$8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  <sz val="16"/>
    </font>
    <font>
      <color rgb="006B6258"/>
    </font>
    <font>
      <b val="1"/>
      <color rgb="00222222"/>
    </font>
  </fonts>
  <fills count="5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F8F4EC"/>
      </patternFill>
    </fill>
    <fill>
      <patternFill patternType="solid">
        <fgColor rgb="00E8DCC7"/>
      </patternFill>
    </fill>
  </fills>
  <borders count="2">
    <border>
      <left/>
      <right/>
      <top/>
      <bottom/>
      <diagonal/>
    </border>
    <border>
      <left style="thin">
        <color rgb="00D8D1C4"/>
      </left>
      <right style="thin">
        <color rgb="00D8D1C4"/>
      </right>
      <top style="thin">
        <color rgb="00D8D1C4"/>
      </top>
      <bottom style="thin">
        <color rgb="00D8D1C4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2" fillId="3" borderId="0" applyAlignment="1" pivotButton="0" quotePrefix="0" xfId="0">
      <alignment vertical="top" wrapText="1"/>
    </xf>
    <xf numFmtId="0" fontId="3" fillId="4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GuideTable" displayName="GuideTable" ref="A3:D10" headerRowCount="1">
  <autoFilter ref="A3:D10"/>
  <tableColumns count="4">
    <tableColumn id="1" name="模块"/>
    <tableColumn id="2" name="用途"/>
    <tableColumn id="3" name="商业问题"/>
    <tableColumn id="4" name="是否允许公司真实数据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SheinProductBase" displayName="SheinProductBase" ref="A3:X5" headerRowCount="1">
  <autoFilter ref="A3:X5"/>
  <tableColumns count="24">
    <tableColumn id="1" name="sandbox_id"/>
    <tableColumn id="2" name="平台"/>
    <tableColumn id="3" name="商品名称"/>
    <tableColumn id="4" name="大类"/>
    <tableColumn id="5" name="小类"/>
    <tableColumn id="6" name="细分场景"/>
    <tableColumn id="7" name="SHEIN平台类目"/>
    <tableColumn id="8" name="供货模式"/>
    <tableColumn id="9" name="样品状态"/>
    <tableColumn id="10" name="目标供货价"/>
    <tableColumn id="11" name="预估包装成本"/>
    <tableColumn id="12" name="预估物流/履约成本"/>
    <tableColumn id="13" name="平台扣费假设"/>
    <tableColumn id="14" name="建议售价"/>
    <tableColumn id="15" name="活动价下限"/>
    <tableColumn id="16" name="最小起订量"/>
    <tableColumn id="17" name="预计履约周期"/>
    <tableColumn id="18" name="库存周期"/>
    <tableColumn id="19" name="退货风险"/>
    <tableColumn id="20" name="图片URL"/>
    <tableColumn id="21" name="竞品URL"/>
    <tableColumn id="22" name="机会标签"/>
    <tableColumn id="23" name="数据敏感级别"/>
    <tableColumn id="24" name="备注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SheinPerformance" displayName="SheinPerformance" ref="A3:V5" headerRowCount="1">
  <autoFilter ref="A3:V5"/>
  <tableColumns count="22">
    <tableColumn id="1" name="日期"/>
    <tableColumn id="2" name="sandbox_id"/>
    <tableColumn id="3" name="曝光"/>
    <tableColumn id="4" name="点击"/>
    <tableColumn id="5" name="CTR"/>
    <tableColumn id="6" name="收藏"/>
    <tableColumn id="7" name="加购"/>
    <tableColumn id="8" name="订单数"/>
    <tableColumn id="9" name="GMV"/>
    <tableColumn id="10" name="活动折扣成本"/>
    <tableColumn id="11" name="平台扣费"/>
    <tableColumn id="12" name="供货成本合计"/>
    <tableColumn id="13" name="履约成本合计"/>
    <tableColumn id="14" name="退货件数"/>
    <tableColumn id="15" name="退货率"/>
    <tableColumn id="16" name="平均履约天数"/>
    <tableColumn id="17" name="库存"/>
    <tableColumn id="18" name="动销率"/>
    <tableColumn id="19" name="贡献利润/净利润估算"/>
    <tableColumn id="20" name="贡献利润率"/>
    <tableColumn id="21" name="异常标记"/>
    <tableColumn id="22" name="备注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SheinActions" displayName="SheinActions" ref="A3:J5" headerRowCount="1">
  <autoFilter ref="A3:J5"/>
  <tableColumns count="10">
    <tableColumn id="1" name="动作日期"/>
    <tableColumn id="2" name="sandbox_id"/>
    <tableColumn id="3" name="动作类型"/>
    <tableColumn id="4" name="动作说明"/>
    <tableColumn id="5" name="动作前指标"/>
    <tableColumn id="6" name="预期目标"/>
    <tableColumn id="7" name="观察窗口"/>
    <tableColumn id="8" name="负责人"/>
    <tableColumn id="9" name="复盘状态"/>
    <tableColumn id="10" name="复盘结论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SheinRisks" displayName="SheinRisks" ref="A3:J5" headerRowCount="1">
  <autoFilter ref="A3:J5"/>
  <tableColumns count="10">
    <tableColumn id="1" name="诊断日期"/>
    <tableColumn id="2" name="sandbox_id"/>
    <tableColumn id="3" name="风险等级"/>
    <tableColumn id="4" name="问题类型"/>
    <tableColumn id="5" name="影响范围"/>
    <tableColumn id="6" name="核心证据"/>
    <tableColumn id="7" name="可能原因"/>
    <tableColumn id="8" name="改进步骤"/>
    <tableColumn id="9" name="是否进入避坑清单"/>
    <tableColumn id="10" name="备注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SheinOpportunityPool" displayName="SheinOpportunityPool" ref="A3:N5" headerRowCount="1">
  <autoFilter ref="A3:N5"/>
  <tableColumns count="14">
    <tableColumn id="1" name="假设ID"/>
    <tableColumn id="2" name="来源"/>
    <tableColumn id="3" name="平台"/>
    <tableColumn id="4" name="大类"/>
    <tableColumn id="5" name="细分场景"/>
    <tableColumn id="6" name="机会假设"/>
    <tableColumn id="7" name="公开证据"/>
    <tableColumn id="8" name="预估价格带"/>
    <tableColumn id="9" name="预估成本带"/>
    <tableColumn id="10" name="验证方式"/>
    <tableColumn id="11" name="样品预算"/>
    <tableColumn id="12" name="优先级"/>
    <tableColumn id="13" name="进入样品测试"/>
    <tableColumn id="14" name="备注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SheinSampleRecap" displayName="SheinSampleRecap" ref="A3:J5" headerRowCount="1">
  <autoFilter ref="A3:J5"/>
  <tableColumns count="10">
    <tableColumn id="1" name="复盘日期"/>
    <tableColumn id="2" name="sandbox_id"/>
    <tableColumn id="3" name="样品数量"/>
    <tableColumn id="4" name="样品成本"/>
    <tableColumn id="5" name="测试结论"/>
    <tableColumn id="6" name="失败原因"/>
    <tableColumn id="7" name="是否小批量"/>
    <tableColumn id="8" name="下一步动作"/>
    <tableColumn id="9" name="沉淀规则"/>
    <tableColumn id="10" name="备注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SheinDashboard" displayName="SheinDashboard" ref="A3:C8" headerRowCount="1">
  <autoFilter ref="A3:C8"/>
  <tableColumns count="3">
    <tableColumn id="1" name="指标"/>
    <tableColumn id="2" name="值"/>
    <tableColumn id="3" name="判断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_rels/sheet7.xml.rels><Relationships xmlns="http://schemas.openxmlformats.org/package/2006/relationships"><Relationship Type="http://schemas.openxmlformats.org/officeDocument/2006/relationships/table" Target="/xl/tables/table7.xml" Id="rId1"/></Relationships>
</file>

<file path=xl/worksheets/_rels/sheet8.xml.rels><Relationships xmlns="http://schemas.openxmlformats.org/package/2006/relationships"><Relationship Type="http://schemas.openxmlformats.org/officeDocument/2006/relationships/table" Target="/xl/tables/table8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10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26" customWidth="1" min="4" max="4"/>
  </cols>
  <sheetData>
    <row r="1" ht="26" customHeight="1">
      <c r="A1" s="1" t="inlineStr">
        <is>
          <t>SHEIN 独立经营诊断模板 V1</t>
        </is>
      </c>
      <c r="B1" s="2" t="n"/>
      <c r="C1" s="2" t="n"/>
      <c r="D1" s="2" t="n"/>
    </row>
    <row r="2">
      <c r="A2" s="3" t="inlineStr">
        <is>
          <t>不接公司真实数据；只允许公开、模拟、脱敏和样品测试数据。</t>
        </is>
      </c>
      <c r="B2" s="2" t="n"/>
      <c r="C2" s="2" t="n"/>
      <c r="D2" s="2" t="n"/>
    </row>
    <row r="3">
      <c r="A3" s="4" t="inlineStr">
        <is>
          <t>模块</t>
        </is>
      </c>
      <c r="B3" s="4" t="inlineStr">
        <is>
          <t>用途</t>
        </is>
      </c>
      <c r="C3" s="4" t="inlineStr">
        <is>
          <t>商业问题</t>
        </is>
      </c>
      <c r="D3" s="4" t="inlineStr">
        <is>
          <t>是否允许公司真实数据</t>
        </is>
      </c>
    </row>
    <row r="4">
      <c r="A4" s="5" t="inlineStr">
        <is>
          <t>01_SHEIN商品基础</t>
        </is>
      </c>
      <c r="B4" s="5" t="inlineStr">
        <is>
          <t>记录商品身份、类目、图片、供货模式、成本结构</t>
        </is>
      </c>
      <c r="C4" s="5" t="inlineStr">
        <is>
          <t>这个品是否具备 SHEIN 供货与履约条件？</t>
        </is>
      </c>
      <c r="D4" s="5" t="inlineStr">
        <is>
          <t>默认否</t>
        </is>
      </c>
    </row>
    <row r="5">
      <c r="A5" s="5" t="inlineStr">
        <is>
          <t>02_SHEIN表现记录</t>
        </is>
      </c>
      <c r="B5" s="5" t="inlineStr">
        <is>
          <t>记录曝光、点击、销量、扣费、退货、库存周转、贡献利润</t>
        </is>
      </c>
      <c r="C5" s="5" t="inlineStr">
        <is>
          <t>它是真赚钱，还是被扣费/退货吃掉利润？</t>
        </is>
      </c>
      <c r="D5" s="5" t="inlineStr">
        <is>
          <t>默认否</t>
        </is>
      </c>
    </row>
    <row r="6">
      <c r="A6" s="5" t="inlineStr">
        <is>
          <t>03_供货履约动作</t>
        </is>
      </c>
      <c r="B6" s="5" t="inlineStr">
        <is>
          <t>记录报价、打样、补货、履约、活动、调价等动作</t>
        </is>
      </c>
      <c r="C6" s="5" t="inlineStr">
        <is>
          <t>动作之后指标有没有改善？</t>
        </is>
      </c>
      <c r="D6" s="5" t="inlineStr">
        <is>
          <t>默认否</t>
        </is>
      </c>
    </row>
    <row r="7">
      <c r="A7" s="5" t="inlineStr">
        <is>
          <t>04_风险诊断</t>
        </is>
      </c>
      <c r="B7" s="5" t="inlineStr">
        <is>
          <t>拆解退供、退货、扣费、履约延迟、活动压价</t>
        </is>
      </c>
      <c r="C7" s="5" t="inlineStr">
        <is>
          <t>亏损到底来自产品、平台、市场还是供应链？</t>
        </is>
      </c>
      <c r="D7" s="5" t="inlineStr">
        <is>
          <t>默认否</t>
        </is>
      </c>
    </row>
    <row r="8">
      <c r="A8" s="5" t="inlineStr">
        <is>
          <t>05_机会假设池</t>
        </is>
      </c>
      <c r="B8" s="5" t="inlineStr">
        <is>
          <t>用公开观察沉淀 SHEIN 机会假设</t>
        </is>
      </c>
      <c r="C8" s="5" t="inlineStr">
        <is>
          <t>哪些品值得进入样品测试？</t>
        </is>
      </c>
      <c r="D8" s="5" t="inlineStr">
        <is>
          <t>否</t>
        </is>
      </c>
    </row>
    <row r="9">
      <c r="A9" s="5" t="inlineStr">
        <is>
          <t>06_样品测试复盘</t>
        </is>
      </c>
      <c r="B9" s="5" t="inlineStr">
        <is>
          <t>记录样品测试、失败原因、是否小批量</t>
        </is>
      </c>
      <c r="C9" s="5" t="inlineStr">
        <is>
          <t>样品是否值得进入真实项目？</t>
        </is>
      </c>
      <c r="D9" s="5" t="inlineStr">
        <is>
          <t>脱敏后可填</t>
        </is>
      </c>
    </row>
    <row r="10">
      <c r="A10" s="5" t="inlineStr">
        <is>
          <t>07_诊断面板</t>
        </is>
      </c>
      <c r="B10" s="5" t="inlineStr">
        <is>
          <t>汇总沙盒状态和下一步动作</t>
        </is>
      </c>
      <c r="C10" s="5" t="inlineStr">
        <is>
          <t>是否已经具备接入受控真实数据的条件？</t>
        </is>
      </c>
      <c r="D10" s="5" t="inlineStr">
        <is>
          <t>否</t>
        </is>
      </c>
    </row>
  </sheetData>
  <autoFilter ref="A3:D10"/>
  <pageMargins left="0.75" right="0.75" top="1" bottom="1" header="0.5" footer="0.5"/>
  <pageSetup fitToWidth="1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X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24" customWidth="1" min="7" max="7"/>
    <col width="14" customWidth="1" min="8" max="8"/>
    <col width="14" customWidth="1" min="9" max="9"/>
    <col width="16" customWidth="1" min="10" max="10"/>
    <col width="18" customWidth="1" min="11" max="11"/>
    <col width="24" customWidth="1" min="12" max="12"/>
    <col width="18" customWidth="1" min="13" max="13"/>
    <col width="14" customWidth="1" min="14" max="14"/>
    <col width="16" customWidth="1" min="15" max="15"/>
    <col width="16" customWidth="1" min="16" max="16"/>
    <col width="18" customWidth="1" min="17" max="17"/>
    <col width="14" customWidth="1" min="18" max="18"/>
    <col width="14" customWidth="1" min="19" max="19"/>
    <col width="16" customWidth="1" min="20" max="20"/>
    <col width="16" customWidth="1" min="21" max="21"/>
    <col width="14" customWidth="1" min="22" max="22"/>
    <col width="18" customWidth="1" min="23" max="23"/>
    <col width="14" customWidth="1" min="24" max="24"/>
  </cols>
  <sheetData>
    <row r="1" ht="26" customHeight="1">
      <c r="A1" s="1" t="inlineStr">
        <is>
          <t>01 SHEIN 商品基础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</row>
    <row r="2">
      <c r="A2" s="3" t="inlineStr">
        <is>
          <t>先定义商品身份、供货条件和成本假设。示例均为模拟数据。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</row>
    <row r="3">
      <c r="A3" s="4" t="inlineStr">
        <is>
          <t>sandbox_id</t>
        </is>
      </c>
      <c r="B3" s="4" t="inlineStr">
        <is>
          <t>平台</t>
        </is>
      </c>
      <c r="C3" s="4" t="inlineStr">
        <is>
          <t>商品名称</t>
        </is>
      </c>
      <c r="D3" s="4" t="inlineStr">
        <is>
          <t>大类</t>
        </is>
      </c>
      <c r="E3" s="4" t="inlineStr">
        <is>
          <t>小类</t>
        </is>
      </c>
      <c r="F3" s="4" t="inlineStr">
        <is>
          <t>细分场景</t>
        </is>
      </c>
      <c r="G3" s="4" t="inlineStr">
        <is>
          <t>SHEIN平台类目</t>
        </is>
      </c>
      <c r="H3" s="4" t="inlineStr">
        <is>
          <t>供货模式</t>
        </is>
      </c>
      <c r="I3" s="4" t="inlineStr">
        <is>
          <t>样品状态</t>
        </is>
      </c>
      <c r="J3" s="4" t="inlineStr">
        <is>
          <t>目标供货价</t>
        </is>
      </c>
      <c r="K3" s="4" t="inlineStr">
        <is>
          <t>预估包装成本</t>
        </is>
      </c>
      <c r="L3" s="4" t="inlineStr">
        <is>
          <t>预估物流/履约成本</t>
        </is>
      </c>
      <c r="M3" s="4" t="inlineStr">
        <is>
          <t>平台扣费假设</t>
        </is>
      </c>
      <c r="N3" s="4" t="inlineStr">
        <is>
          <t>建议售价</t>
        </is>
      </c>
      <c r="O3" s="4" t="inlineStr">
        <is>
          <t>活动价下限</t>
        </is>
      </c>
      <c r="P3" s="4" t="inlineStr">
        <is>
          <t>最小起订量</t>
        </is>
      </c>
      <c r="Q3" s="4" t="inlineStr">
        <is>
          <t>预计履约周期</t>
        </is>
      </c>
      <c r="R3" s="4" t="inlineStr">
        <is>
          <t>库存周期</t>
        </is>
      </c>
      <c r="S3" s="4" t="inlineStr">
        <is>
          <t>退货风险</t>
        </is>
      </c>
      <c r="T3" s="4" t="inlineStr">
        <is>
          <t>图片URL</t>
        </is>
      </c>
      <c r="U3" s="4" t="inlineStr">
        <is>
          <t>竞品URL</t>
        </is>
      </c>
      <c r="V3" s="4" t="inlineStr">
        <is>
          <t>机会标签</t>
        </is>
      </c>
      <c r="W3" s="4" t="inlineStr">
        <is>
          <t>数据敏感级别</t>
        </is>
      </c>
      <c r="X3" s="4" t="inlineStr">
        <is>
          <t>备注</t>
        </is>
      </c>
    </row>
    <row r="4">
      <c r="A4" s="5" t="inlineStr">
        <is>
          <t>SHEIN-DEMO-001</t>
        </is>
      </c>
      <c r="B4" s="5" t="inlineStr">
        <is>
          <t>SHEIN</t>
        </is>
      </c>
      <c r="C4" s="5" t="inlineStr">
        <is>
          <t>轻量旅行收纳包</t>
        </is>
      </c>
      <c r="D4" s="5" t="inlineStr">
        <is>
          <t>旅行配件</t>
        </is>
      </c>
      <c r="E4" s="5" t="inlineStr">
        <is>
          <t>收纳</t>
        </is>
      </c>
      <c r="F4" s="5" t="inlineStr">
        <is>
          <t>夏季出行</t>
        </is>
      </c>
      <c r="G4" s="5" t="inlineStr">
        <is>
          <t>Travel Storage</t>
        </is>
      </c>
      <c r="H4" s="5" t="inlineStr">
        <is>
          <t>样品测试</t>
        </is>
      </c>
      <c r="I4" s="5" t="inlineStr">
        <is>
          <t>样品待测</t>
        </is>
      </c>
      <c r="J4" s="5" t="n">
        <v>2.4</v>
      </c>
      <c r="K4" s="5" t="n">
        <v>0.25</v>
      </c>
      <c r="L4" s="5" t="n">
        <v>0.8</v>
      </c>
      <c r="M4" s="5" t="inlineStr">
        <is>
          <t>10%</t>
        </is>
      </c>
      <c r="N4" s="5" t="n">
        <v>7.99</v>
      </c>
      <c r="O4" s="5" t="n">
        <v>6.49</v>
      </c>
      <c r="P4" s="5" t="n">
        <v>100</v>
      </c>
      <c r="Q4" s="5" t="inlineStr">
        <is>
          <t>7-10天</t>
        </is>
      </c>
      <c r="R4" s="5" t="inlineStr">
        <is>
          <t>30天</t>
        </is>
      </c>
      <c r="S4" s="5" t="inlineStr">
        <is>
          <t>中</t>
        </is>
      </c>
      <c r="T4" s="5" t="inlineStr">
        <is>
          <t>https://example.com/shein-demo-001.jpg</t>
        </is>
      </c>
      <c r="U4" s="5" t="inlineStr">
        <is>
          <t>https://example.com/competitor-001</t>
        </is>
      </c>
      <c r="V4" s="5" t="inlineStr">
        <is>
          <t>轻小/刚需/低客单</t>
        </is>
      </c>
      <c r="W4" s="5" t="inlineStr">
        <is>
          <t>sandbox</t>
        </is>
      </c>
      <c r="X4" s="5" t="inlineStr">
        <is>
          <t>模拟样例，不代表公司数据</t>
        </is>
      </c>
    </row>
    <row r="5">
      <c r="A5" s="5" t="inlineStr">
        <is>
          <t>SHEIN-DEMO-002</t>
        </is>
      </c>
      <c r="B5" s="5" t="inlineStr">
        <is>
          <t>SHEIN</t>
        </is>
      </c>
      <c r="C5" s="5" t="inlineStr">
        <is>
          <t>宠物项圈装饰扣</t>
        </is>
      </c>
      <c r="D5" s="5" t="inlineStr">
        <is>
          <t>宠物用品</t>
        </is>
      </c>
      <c r="E5" s="5" t="inlineStr">
        <is>
          <t>宠物饰品</t>
        </is>
      </c>
      <c r="F5" s="5" t="inlineStr">
        <is>
          <t>低价配饰</t>
        </is>
      </c>
      <c r="G5" s="5" t="inlineStr">
        <is>
          <t>Pet Accessories</t>
        </is>
      </c>
      <c r="H5" s="5" t="inlineStr">
        <is>
          <t>公开观察</t>
        </is>
      </c>
      <c r="I5" s="5" t="inlineStr">
        <is>
          <t>未打样</t>
        </is>
      </c>
      <c r="J5" s="5" t="n">
        <v>1.1</v>
      </c>
      <c r="K5" s="5" t="n">
        <v>0.15</v>
      </c>
      <c r="L5" s="5" t="n">
        <v>0.55</v>
      </c>
      <c r="M5" s="5" t="inlineStr">
        <is>
          <t>10%</t>
        </is>
      </c>
      <c r="N5" s="5" t="n">
        <v>4.99</v>
      </c>
      <c r="O5" s="5" t="n">
        <v>3.99</v>
      </c>
      <c r="P5" s="5" t="n">
        <v>200</v>
      </c>
      <c r="Q5" s="5" t="inlineStr">
        <is>
          <t>10-14天</t>
        </is>
      </c>
      <c r="R5" s="5" t="inlineStr">
        <is>
          <t>45天</t>
        </is>
      </c>
      <c r="S5" s="5" t="inlineStr">
        <is>
          <t>高</t>
        </is>
      </c>
      <c r="T5" s="5" t="inlineStr">
        <is>
          <t>https://example.com/shein-demo-002.jpg</t>
        </is>
      </c>
      <c r="U5" s="5" t="inlineStr">
        <is>
          <t>https://example.com/competitor-002</t>
        </is>
      </c>
      <c r="V5" s="5" t="inlineStr">
        <is>
          <t>视觉强/尺码风险</t>
        </is>
      </c>
      <c r="W5" s="5" t="inlineStr">
        <is>
          <t>sandbox</t>
        </is>
      </c>
      <c r="X5" s="5" t="inlineStr">
        <is>
          <t>需先验证退货与材质</t>
        </is>
      </c>
    </row>
  </sheetData>
  <autoFilter ref="A3:X5"/>
  <pageMargins left="0.75" right="0.75" top="1" bottom="1" header="0.5" footer="0.5"/>
  <pageSetup fitToWidth="1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V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8" customWidth="1" min="10" max="10"/>
    <col width="14" customWidth="1" min="11" max="11"/>
    <col width="18" customWidth="1" min="12" max="12"/>
    <col width="18" customWidth="1" min="13" max="13"/>
    <col width="14" customWidth="1" min="14" max="14"/>
    <col width="14" customWidth="1" min="15" max="15"/>
    <col width="18" customWidth="1" min="16" max="16"/>
    <col width="14" customWidth="1" min="17" max="17"/>
    <col width="14" customWidth="1" min="18" max="18"/>
    <col width="26" customWidth="1" min="19" max="19"/>
    <col width="16" customWidth="1" min="20" max="20"/>
    <col width="14" customWidth="1" min="21" max="21"/>
    <col width="14" customWidth="1" min="22" max="22"/>
  </cols>
  <sheetData>
    <row r="1" ht="26" customHeight="1">
      <c r="A1" s="1" t="inlineStr">
        <is>
          <t>02 SHEIN 表现记录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</row>
    <row r="2">
      <c r="A2" s="3" t="inlineStr">
        <is>
          <t>核心不是销售额，而是贡献利润、退货和履约后是否仍然赚钱。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</row>
    <row r="3">
      <c r="A3" s="4" t="inlineStr">
        <is>
          <t>日期</t>
        </is>
      </c>
      <c r="B3" s="4" t="inlineStr">
        <is>
          <t>sandbox_id</t>
        </is>
      </c>
      <c r="C3" s="4" t="inlineStr">
        <is>
          <t>曝光</t>
        </is>
      </c>
      <c r="D3" s="4" t="inlineStr">
        <is>
          <t>点击</t>
        </is>
      </c>
      <c r="E3" s="4" t="inlineStr">
        <is>
          <t>CTR</t>
        </is>
      </c>
      <c r="F3" s="4" t="inlineStr">
        <is>
          <t>收藏</t>
        </is>
      </c>
      <c r="G3" s="4" t="inlineStr">
        <is>
          <t>加购</t>
        </is>
      </c>
      <c r="H3" s="4" t="inlineStr">
        <is>
          <t>订单数</t>
        </is>
      </c>
      <c r="I3" s="4" t="inlineStr">
        <is>
          <t>GMV</t>
        </is>
      </c>
      <c r="J3" s="4" t="inlineStr">
        <is>
          <t>活动折扣成本</t>
        </is>
      </c>
      <c r="K3" s="4" t="inlineStr">
        <is>
          <t>平台扣费</t>
        </is>
      </c>
      <c r="L3" s="4" t="inlineStr">
        <is>
          <t>供货成本合计</t>
        </is>
      </c>
      <c r="M3" s="4" t="inlineStr">
        <is>
          <t>履约成本合计</t>
        </is>
      </c>
      <c r="N3" s="4" t="inlineStr">
        <is>
          <t>退货件数</t>
        </is>
      </c>
      <c r="O3" s="4" t="inlineStr">
        <is>
          <t>退货率</t>
        </is>
      </c>
      <c r="P3" s="4" t="inlineStr">
        <is>
          <t>平均履约天数</t>
        </is>
      </c>
      <c r="Q3" s="4" t="inlineStr">
        <is>
          <t>库存</t>
        </is>
      </c>
      <c r="R3" s="4" t="inlineStr">
        <is>
          <t>动销率</t>
        </is>
      </c>
      <c r="S3" s="4" t="inlineStr">
        <is>
          <t>贡献利润/净利润估算</t>
        </is>
      </c>
      <c r="T3" s="4" t="inlineStr">
        <is>
          <t>贡献利润率</t>
        </is>
      </c>
      <c r="U3" s="4" t="inlineStr">
        <is>
          <t>异常标记</t>
        </is>
      </c>
      <c r="V3" s="4" t="inlineStr">
        <is>
          <t>备注</t>
        </is>
      </c>
    </row>
    <row r="4">
      <c r="A4" s="5" t="inlineStr">
        <is>
          <t>2026-06-24</t>
        </is>
      </c>
      <c r="B4" s="5" t="inlineStr">
        <is>
          <t>SHEIN-DEMO-001</t>
        </is>
      </c>
      <c r="C4" s="5" t="n">
        <v>1200</v>
      </c>
      <c r="D4" s="5" t="n">
        <v>96</v>
      </c>
      <c r="E4" s="5" t="inlineStr">
        <is>
          <t>8.00%</t>
        </is>
      </c>
      <c r="F4" s="5" t="n">
        <v>18</v>
      </c>
      <c r="G4" s="5" t="n">
        <v>11</v>
      </c>
      <c r="H4" s="5" t="n">
        <v>5</v>
      </c>
      <c r="I4" s="5" t="n">
        <v>39.95</v>
      </c>
      <c r="J4" s="5" t="n">
        <v>4.5</v>
      </c>
      <c r="K4" s="5" t="n">
        <v>4</v>
      </c>
      <c r="L4" s="5" t="n">
        <v>12</v>
      </c>
      <c r="M4" s="5" t="n">
        <v>4</v>
      </c>
      <c r="N4" s="5" t="n">
        <v>0</v>
      </c>
      <c r="O4" s="5" t="inlineStr">
        <is>
          <t>0.00%</t>
        </is>
      </c>
      <c r="P4" s="5" t="n">
        <v>8</v>
      </c>
      <c r="Q4" s="5" t="n">
        <v>95</v>
      </c>
      <c r="R4" s="5" t="inlineStr">
        <is>
          <t>5.00%</t>
        </is>
      </c>
      <c r="S4" s="5">
        <f>I4-J4-K4-L4-M4</f>
        <v/>
      </c>
      <c r="T4" s="5">
        <f>S4/I4</f>
        <v/>
      </c>
      <c r="U4" s="5" t="inlineStr">
        <is>
          <t>待观察</t>
        </is>
      </c>
      <c r="V4" s="5" t="inlineStr">
        <is>
          <t>模拟数据</t>
        </is>
      </c>
    </row>
    <row r="5">
      <c r="A5" s="5" t="inlineStr">
        <is>
          <t>2026-06-24</t>
        </is>
      </c>
      <c r="B5" s="5" t="inlineStr">
        <is>
          <t>SHEIN-DEMO-002</t>
        </is>
      </c>
      <c r="C5" s="5" t="n">
        <v>900</v>
      </c>
      <c r="D5" s="5" t="n">
        <v>45</v>
      </c>
      <c r="E5" s="5" t="inlineStr">
        <is>
          <t>5.00%</t>
        </is>
      </c>
      <c r="F5" s="5" t="n">
        <v>7</v>
      </c>
      <c r="G5" s="5" t="n">
        <v>3</v>
      </c>
      <c r="H5" s="5" t="n">
        <v>1</v>
      </c>
      <c r="I5" s="5" t="n">
        <v>4.99</v>
      </c>
      <c r="J5" s="5" t="n">
        <v>0.8</v>
      </c>
      <c r="K5" s="5" t="n">
        <v>0.5</v>
      </c>
      <c r="L5" s="5" t="n">
        <v>1.1</v>
      </c>
      <c r="M5" s="5" t="n">
        <v>0.55</v>
      </c>
      <c r="N5" s="5" t="n">
        <v>1</v>
      </c>
      <c r="O5" s="5" t="inlineStr">
        <is>
          <t>100.00%</t>
        </is>
      </c>
      <c r="P5" s="5" t="n">
        <v>12</v>
      </c>
      <c r="Q5" s="5" t="n">
        <v>199</v>
      </c>
      <c r="R5" s="5" t="inlineStr">
        <is>
          <t>0.50%</t>
        </is>
      </c>
      <c r="S5" s="5">
        <f>I5-J5-K5-L5-M5</f>
        <v/>
      </c>
      <c r="T5" s="5">
        <f>S5/I5</f>
        <v/>
      </c>
      <c r="U5" s="5" t="inlineStr">
        <is>
          <t>退货风险</t>
        </is>
      </c>
      <c r="V5" s="5" t="inlineStr">
        <is>
          <t>模拟数据</t>
        </is>
      </c>
    </row>
  </sheetData>
  <autoFilter ref="A3:V5"/>
  <pageMargins left="0.75" right="0.75" top="1" bottom="1" header="0.5" footer="0.5"/>
  <pageSetup fitToWidth="1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J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4" customWidth="1" min="3" max="3"/>
    <col width="14" customWidth="1" min="4" max="4"/>
    <col width="16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</cols>
  <sheetData>
    <row r="1" ht="26" customHeight="1">
      <c r="A1" s="1" t="inlineStr">
        <is>
          <t>03 供货履约动作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3" t="inlineStr">
        <is>
          <t>记录人做过什么；没有动作记录，就无法解释因果。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</row>
    <row r="3">
      <c r="A3" s="4" t="inlineStr">
        <is>
          <t>动作日期</t>
        </is>
      </c>
      <c r="B3" s="4" t="inlineStr">
        <is>
          <t>sandbox_id</t>
        </is>
      </c>
      <c r="C3" s="4" t="inlineStr">
        <is>
          <t>动作类型</t>
        </is>
      </c>
      <c r="D3" s="4" t="inlineStr">
        <is>
          <t>动作说明</t>
        </is>
      </c>
      <c r="E3" s="4" t="inlineStr">
        <is>
          <t>动作前指标</t>
        </is>
      </c>
      <c r="F3" s="4" t="inlineStr">
        <is>
          <t>预期目标</t>
        </is>
      </c>
      <c r="G3" s="4" t="inlineStr">
        <is>
          <t>观察窗口</t>
        </is>
      </c>
      <c r="H3" s="4" t="inlineStr">
        <is>
          <t>负责人</t>
        </is>
      </c>
      <c r="I3" s="4" t="inlineStr">
        <is>
          <t>复盘状态</t>
        </is>
      </c>
      <c r="J3" s="4" t="inlineStr">
        <is>
          <t>复盘结论</t>
        </is>
      </c>
    </row>
    <row r="4">
      <c r="A4" s="5" t="inlineStr">
        <is>
          <t>2026-06-24</t>
        </is>
      </c>
      <c r="B4" s="5" t="inlineStr">
        <is>
          <t>SHEIN-DEMO-001</t>
        </is>
      </c>
      <c r="C4" s="5" t="inlineStr">
        <is>
          <t>样品测试</t>
        </is>
      </c>
      <c r="D4" s="5" t="inlineStr">
        <is>
          <t>下单 5 件样品，验证材质和包装破损</t>
        </is>
      </c>
      <c r="E4" s="5" t="inlineStr">
        <is>
          <t>无</t>
        </is>
      </c>
      <c r="F4" s="5" t="inlineStr">
        <is>
          <t>退货率&lt;8%，7天动销&gt;15%</t>
        </is>
      </c>
      <c r="G4" s="5" t="inlineStr">
        <is>
          <t>14天</t>
        </is>
      </c>
      <c r="H4" s="5" t="inlineStr">
        <is>
          <t>运营A</t>
        </is>
      </c>
      <c r="I4" s="5" t="inlineStr">
        <is>
          <t>待复盘</t>
        </is>
      </c>
      <c r="J4" s="5" t="inlineStr">
        <is>
          <t>样品到货后补充</t>
        </is>
      </c>
    </row>
    <row r="5">
      <c r="A5" s="5" t="inlineStr">
        <is>
          <t>2026-06-24</t>
        </is>
      </c>
      <c r="B5" s="5" t="inlineStr">
        <is>
          <t>SHEIN-DEMO-002</t>
        </is>
      </c>
      <c r="C5" s="5" t="inlineStr">
        <is>
          <t>暂停压货</t>
        </is>
      </c>
      <c r="D5" s="5" t="inlineStr">
        <is>
          <t>退货风险高，先不进入小批量</t>
        </is>
      </c>
      <c r="E5" s="5" t="inlineStr">
        <is>
          <t>模拟退货率 100%</t>
        </is>
      </c>
      <c r="F5" s="5" t="inlineStr">
        <is>
          <t>确认材质与尺码问题</t>
        </is>
      </c>
      <c r="G5" s="5" t="inlineStr">
        <is>
          <t>7天</t>
        </is>
      </c>
      <c r="H5" s="5" t="inlineStr">
        <is>
          <t>运营A</t>
        </is>
      </c>
      <c r="I5" s="5" t="inlineStr">
        <is>
          <t>已复盘</t>
        </is>
      </c>
      <c r="J5" s="5" t="inlineStr">
        <is>
          <t>先替换供应源</t>
        </is>
      </c>
    </row>
  </sheetData>
  <autoFilter ref="A3:J5"/>
  <pageMargins left="0.75" right="0.75" top="1" bottom="1" header="0.5" footer="0.5"/>
  <pageSetup fitToWidth="1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J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22" customWidth="1" min="9" max="9"/>
    <col width="14" customWidth="1" min="10" max="10"/>
  </cols>
  <sheetData>
    <row r="1" ht="26" customHeight="1">
      <c r="A1" s="1" t="inlineStr">
        <is>
          <t>04 风险诊断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3" t="inlineStr">
        <is>
          <t>把亏损拆成产品、市场、平台、运营、供应链五类，不允许只写“卖不好”。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</row>
    <row r="3">
      <c r="A3" s="4" t="inlineStr">
        <is>
          <t>诊断日期</t>
        </is>
      </c>
      <c r="B3" s="4" t="inlineStr">
        <is>
          <t>sandbox_id</t>
        </is>
      </c>
      <c r="C3" s="4" t="inlineStr">
        <is>
          <t>风险等级</t>
        </is>
      </c>
      <c r="D3" s="4" t="inlineStr">
        <is>
          <t>问题类型</t>
        </is>
      </c>
      <c r="E3" s="4" t="inlineStr">
        <is>
          <t>影响范围</t>
        </is>
      </c>
      <c r="F3" s="4" t="inlineStr">
        <is>
          <t>核心证据</t>
        </is>
      </c>
      <c r="G3" s="4" t="inlineStr">
        <is>
          <t>可能原因</t>
        </is>
      </c>
      <c r="H3" s="4" t="inlineStr">
        <is>
          <t>改进步骤</t>
        </is>
      </c>
      <c r="I3" s="4" t="inlineStr">
        <is>
          <t>是否进入避坑清单</t>
        </is>
      </c>
      <c r="J3" s="4" t="inlineStr">
        <is>
          <t>备注</t>
        </is>
      </c>
    </row>
    <row r="4">
      <c r="A4" s="5" t="inlineStr">
        <is>
          <t>2026-06-24</t>
        </is>
      </c>
      <c r="B4" s="5" t="inlineStr">
        <is>
          <t>SHEIN-DEMO-001</t>
        </is>
      </c>
      <c r="C4" s="5" t="inlineStr">
        <is>
          <t>中</t>
        </is>
      </c>
      <c r="D4" s="5" t="inlineStr">
        <is>
          <t>履约周期</t>
        </is>
      </c>
      <c r="E4" s="5" t="inlineStr">
        <is>
          <t>转化/复购</t>
        </is>
      </c>
      <c r="F4" s="5" t="inlineStr">
        <is>
          <t>预计履约 7-10 天</t>
        </is>
      </c>
      <c r="G4" s="5" t="inlineStr">
        <is>
          <t>供应商交期不稳定</t>
        </is>
      </c>
      <c r="H4" s="5" t="inlineStr">
        <is>
          <t>找第二供应商；打样验证包装</t>
        </is>
      </c>
      <c r="I4" s="5" t="inlineStr">
        <is>
          <t>否</t>
        </is>
      </c>
      <c r="J4" s="5" t="inlineStr">
        <is>
          <t>继续观察</t>
        </is>
      </c>
    </row>
    <row r="5">
      <c r="A5" s="5" t="inlineStr">
        <is>
          <t>2026-06-24</t>
        </is>
      </c>
      <c r="B5" s="5" t="inlineStr">
        <is>
          <t>SHEIN-DEMO-002</t>
        </is>
      </c>
      <c r="C5" s="5" t="inlineStr">
        <is>
          <t>高</t>
        </is>
      </c>
      <c r="D5" s="5" t="inlineStr">
        <is>
          <t>退货偏高</t>
        </is>
      </c>
      <c r="E5" s="5" t="inlineStr">
        <is>
          <t>贡献利润</t>
        </is>
      </c>
      <c r="F5" s="5" t="inlineStr">
        <is>
          <t>模拟退货率 100%</t>
        </is>
      </c>
      <c r="G5" s="5" t="inlineStr">
        <is>
          <t>材质/尺码/图片承诺错位</t>
        </is>
      </c>
      <c r="H5" s="5" t="inlineStr">
        <is>
          <t>暂停；重新拍图；调整规格描述</t>
        </is>
      </c>
      <c r="I5" s="5" t="inlineStr">
        <is>
          <t>是</t>
        </is>
      </c>
      <c r="J5" s="5" t="inlineStr">
        <is>
          <t>进入亏损原因库</t>
        </is>
      </c>
    </row>
  </sheetData>
  <autoFilter ref="A3:J5"/>
  <pageMargins left="0.75" right="0.75" top="1" bottom="1" header="0.5" footer="0.5"/>
  <pageSetup fitToWidth="1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N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6" customWidth="1" min="9" max="9"/>
    <col width="14" customWidth="1" min="10" max="10"/>
    <col width="14" customWidth="1" min="11" max="11"/>
    <col width="14" customWidth="1" min="12" max="12"/>
    <col width="18" customWidth="1" min="13" max="13"/>
    <col width="14" customWidth="1" min="14" max="14"/>
  </cols>
  <sheetData>
    <row r="1" ht="26" customHeight="1">
      <c r="A1" s="1" t="inlineStr">
        <is>
          <t>05 机会假设池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2">
      <c r="A2" s="3" t="inlineStr">
        <is>
          <t>先沉淀假设，不急于变成生产任务。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</row>
    <row r="3">
      <c r="A3" s="4" t="inlineStr">
        <is>
          <t>假设ID</t>
        </is>
      </c>
      <c r="B3" s="4" t="inlineStr">
        <is>
          <t>来源</t>
        </is>
      </c>
      <c r="C3" s="4" t="inlineStr">
        <is>
          <t>平台</t>
        </is>
      </c>
      <c r="D3" s="4" t="inlineStr">
        <is>
          <t>大类</t>
        </is>
      </c>
      <c r="E3" s="4" t="inlineStr">
        <is>
          <t>细分场景</t>
        </is>
      </c>
      <c r="F3" s="4" t="inlineStr">
        <is>
          <t>机会假设</t>
        </is>
      </c>
      <c r="G3" s="4" t="inlineStr">
        <is>
          <t>公开证据</t>
        </is>
      </c>
      <c r="H3" s="4" t="inlineStr">
        <is>
          <t>预估价格带</t>
        </is>
      </c>
      <c r="I3" s="4" t="inlineStr">
        <is>
          <t>预估成本带</t>
        </is>
      </c>
      <c r="J3" s="4" t="inlineStr">
        <is>
          <t>验证方式</t>
        </is>
      </c>
      <c r="K3" s="4" t="inlineStr">
        <is>
          <t>样品预算</t>
        </is>
      </c>
      <c r="L3" s="4" t="inlineStr">
        <is>
          <t>优先级</t>
        </is>
      </c>
      <c r="M3" s="4" t="inlineStr">
        <is>
          <t>进入样品测试</t>
        </is>
      </c>
      <c r="N3" s="4" t="inlineStr">
        <is>
          <t>备注</t>
        </is>
      </c>
    </row>
    <row r="4">
      <c r="A4" s="5" t="inlineStr">
        <is>
          <t>H-SHEIN-001</t>
        </is>
      </c>
      <c r="B4" s="5" t="inlineStr">
        <is>
          <t>公开竞品观察</t>
        </is>
      </c>
      <c r="C4" s="5" t="inlineStr">
        <is>
          <t>SHEIN</t>
        </is>
      </c>
      <c r="D4" s="5" t="inlineStr">
        <is>
          <t>旅行配件</t>
        </is>
      </c>
      <c r="E4" s="5" t="inlineStr">
        <is>
          <t>夏季出行</t>
        </is>
      </c>
      <c r="F4" s="5" t="inlineStr">
        <is>
          <t>轻小收纳品可能适合低履约成本打法</t>
        </is>
      </c>
      <c r="G4" s="5" t="inlineStr">
        <is>
          <t>竞品多、图片强调便携</t>
        </is>
      </c>
      <c r="H4" s="5" t="inlineStr">
        <is>
          <t>5-9 USD</t>
        </is>
      </c>
      <c r="I4" s="5" t="inlineStr">
        <is>
          <t>2-4 USD</t>
        </is>
      </c>
      <c r="J4" s="5" t="inlineStr">
        <is>
          <t>采购样品+模拟活动价</t>
        </is>
      </c>
      <c r="K4" s="5" t="n">
        <v>50</v>
      </c>
      <c r="L4" s="5" t="inlineStr">
        <is>
          <t>高</t>
        </is>
      </c>
      <c r="M4" s="5" t="inlineStr">
        <is>
          <t>是</t>
        </is>
      </c>
      <c r="N4" s="5" t="inlineStr">
        <is>
          <t>不接公司数据</t>
        </is>
      </c>
    </row>
    <row r="5">
      <c r="A5" s="5" t="inlineStr">
        <is>
          <t>H-SHEIN-002</t>
        </is>
      </c>
      <c r="B5" s="5" t="inlineStr">
        <is>
          <t>公开趋势观察</t>
        </is>
      </c>
      <c r="C5" s="5" t="inlineStr">
        <is>
          <t>SHEIN</t>
        </is>
      </c>
      <c r="D5" s="5" t="inlineStr">
        <is>
          <t>宠物用品</t>
        </is>
      </c>
      <c r="E5" s="5" t="inlineStr">
        <is>
          <t>宠物饰品</t>
        </is>
      </c>
      <c r="F5" s="5" t="inlineStr">
        <is>
          <t>视觉强的小饰品有冲动消费机会</t>
        </is>
      </c>
      <c r="G5" s="5" t="inlineStr">
        <is>
          <t>收藏互动高但退货未知</t>
        </is>
      </c>
      <c r="H5" s="5" t="inlineStr">
        <is>
          <t>3-6 USD</t>
        </is>
      </c>
      <c r="I5" s="5" t="inlineStr">
        <is>
          <t>1-3 USD</t>
        </is>
      </c>
      <c r="J5" s="5" t="inlineStr">
        <is>
          <t>先测材质和尺码投诉</t>
        </is>
      </c>
      <c r="K5" s="5" t="n">
        <v>40</v>
      </c>
      <c r="L5" s="5" t="inlineStr">
        <is>
          <t>中</t>
        </is>
      </c>
      <c r="M5" s="5" t="inlineStr">
        <is>
          <t>否</t>
        </is>
      </c>
      <c r="N5" s="5" t="inlineStr">
        <is>
          <t>退货风险待验证</t>
        </is>
      </c>
    </row>
  </sheetData>
  <autoFilter ref="A3:N5"/>
  <pageMargins left="0.75" right="0.75" top="1" bottom="1" header="0.5" footer="0.5"/>
  <pageSetup fitToWidth="1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J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4" customWidth="1" min="3" max="3"/>
    <col width="14" customWidth="1" min="4" max="4"/>
    <col width="14" customWidth="1" min="5" max="5"/>
    <col width="14" customWidth="1" min="6" max="6"/>
    <col width="16" customWidth="1" min="7" max="7"/>
    <col width="16" customWidth="1" min="8" max="8"/>
    <col width="14" customWidth="1" min="9" max="9"/>
    <col width="14" customWidth="1" min="10" max="10"/>
  </cols>
  <sheetData>
    <row r="1" ht="26" customHeight="1">
      <c r="A1" s="1" t="inlineStr">
        <is>
          <t>06 样品测试复盘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3" t="inlineStr">
        <is>
          <t>样品测试通过再进入真实项目；失败也要沉淀成避坑经验。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</row>
    <row r="3">
      <c r="A3" s="4" t="inlineStr">
        <is>
          <t>复盘日期</t>
        </is>
      </c>
      <c r="B3" s="4" t="inlineStr">
        <is>
          <t>sandbox_id</t>
        </is>
      </c>
      <c r="C3" s="4" t="inlineStr">
        <is>
          <t>样品数量</t>
        </is>
      </c>
      <c r="D3" s="4" t="inlineStr">
        <is>
          <t>样品成本</t>
        </is>
      </c>
      <c r="E3" s="4" t="inlineStr">
        <is>
          <t>测试结论</t>
        </is>
      </c>
      <c r="F3" s="4" t="inlineStr">
        <is>
          <t>失败原因</t>
        </is>
      </c>
      <c r="G3" s="4" t="inlineStr">
        <is>
          <t>是否小批量</t>
        </is>
      </c>
      <c r="H3" s="4" t="inlineStr">
        <is>
          <t>下一步动作</t>
        </is>
      </c>
      <c r="I3" s="4" t="inlineStr">
        <is>
          <t>沉淀规则</t>
        </is>
      </c>
      <c r="J3" s="4" t="inlineStr">
        <is>
          <t>备注</t>
        </is>
      </c>
    </row>
    <row r="4">
      <c r="A4" s="5" t="inlineStr">
        <is>
          <t>2026-06-24</t>
        </is>
      </c>
      <c r="B4" s="5" t="inlineStr">
        <is>
          <t>SHEIN-DEMO-001</t>
        </is>
      </c>
      <c r="C4" s="5" t="n">
        <v>5</v>
      </c>
      <c r="D4" s="5" t="n">
        <v>18.5</v>
      </c>
      <c r="E4" s="5" t="inlineStr">
        <is>
          <t>待测试</t>
        </is>
      </c>
      <c r="F4" s="5" t="inlineStr">
        <is>
          <t>暂无</t>
        </is>
      </c>
      <c r="G4" s="5" t="inlineStr">
        <is>
          <t>待定</t>
        </is>
      </c>
      <c r="H4" s="5" t="inlineStr">
        <is>
          <t>检查包装、尺寸、材质</t>
        </is>
      </c>
      <c r="I4" s="5" t="inlineStr">
        <is>
          <t>轻小品必须验证包装破损率</t>
        </is>
      </c>
      <c r="J4" s="5" t="inlineStr">
        <is>
          <t>模拟数据</t>
        </is>
      </c>
    </row>
    <row r="5">
      <c r="A5" s="5" t="inlineStr">
        <is>
          <t>2026-06-24</t>
        </is>
      </c>
      <c r="B5" s="5" t="inlineStr">
        <is>
          <t>SHEIN-DEMO-002</t>
        </is>
      </c>
      <c r="C5" s="5" t="n">
        <v>3</v>
      </c>
      <c r="D5" s="5" t="n">
        <v>6</v>
      </c>
      <c r="E5" s="5" t="inlineStr">
        <is>
          <t>不通过</t>
        </is>
      </c>
      <c r="F5" s="5" t="inlineStr">
        <is>
          <t>材质廉价，退货风险高</t>
        </is>
      </c>
      <c r="G5" s="5" t="inlineStr">
        <is>
          <t>否</t>
        </is>
      </c>
      <c r="H5" s="5" t="inlineStr">
        <is>
          <t>更换供应源</t>
        </is>
      </c>
      <c r="I5" s="5" t="inlineStr">
        <is>
          <t>宠物饰品先看材质和尺寸投诉</t>
        </is>
      </c>
      <c r="J5" s="5" t="inlineStr">
        <is>
          <t>模拟数据</t>
        </is>
      </c>
    </row>
  </sheetData>
  <autoFilter ref="A3:J5"/>
  <pageMargins left="0.75" right="0.75" top="1" bottom="1" header="0.5" footer="0.5"/>
  <pageSetup fitToWidth="1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C8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</cols>
  <sheetData>
    <row r="1" ht="26" customHeight="1">
      <c r="A1" s="1" t="inlineStr">
        <is>
          <t>07 SHEIN 沙盒诊断面板</t>
        </is>
      </c>
      <c r="B1" s="2" t="n"/>
      <c r="C1" s="2" t="n"/>
    </row>
    <row r="2">
      <c r="A2" s="3" t="inlineStr">
        <is>
          <t>看沙盒是否足够成熟，而不是看表格是否好看。</t>
        </is>
      </c>
      <c r="B2" s="2" t="n"/>
      <c r="C2" s="2" t="n"/>
    </row>
    <row r="3">
      <c r="A3" s="4" t="inlineStr">
        <is>
          <t>指标</t>
        </is>
      </c>
      <c r="B3" s="4" t="inlineStr">
        <is>
          <t>值</t>
        </is>
      </c>
      <c r="C3" s="4" t="inlineStr">
        <is>
          <t>判断</t>
        </is>
      </c>
    </row>
    <row r="4">
      <c r="A4" s="5" t="inlineStr">
        <is>
          <t>候选商品数</t>
        </is>
      </c>
      <c r="B4" s="5">
        <f>COUNTA('01_SHEIN商品基础'!A4:A200)</f>
        <v/>
      </c>
      <c r="C4" s="5" t="inlineStr">
        <is>
          <t>至少 20 个后再判断品类规律</t>
        </is>
      </c>
    </row>
    <row r="5">
      <c r="A5" s="5" t="inlineStr">
        <is>
          <t>机会假设数</t>
        </is>
      </c>
      <c r="B5" s="5">
        <f>COUNTA('05_机会假设池'!A4:A200)</f>
        <v/>
      </c>
      <c r="C5" s="5" t="inlineStr">
        <is>
          <t>每个假设都要有公开证据</t>
        </is>
      </c>
    </row>
    <row r="6">
      <c r="A6" s="5" t="inlineStr">
        <is>
          <t>样品复盘数</t>
        </is>
      </c>
      <c r="B6" s="5">
        <f>COUNTA('06_样品测试复盘'!A4:A200)</f>
        <v/>
      </c>
      <c r="C6" s="5" t="inlineStr">
        <is>
          <t>没有样品复盘，不进真实项目</t>
        </is>
      </c>
    </row>
    <row r="7">
      <c r="A7" s="5" t="inlineStr">
        <is>
          <t>高风险问题数</t>
        </is>
      </c>
      <c r="B7" s="5">
        <f>COUNTIF('04_风险诊断'!C4:C200,"高")</f>
        <v/>
      </c>
      <c r="C7" s="5" t="inlineStr">
        <is>
          <t>高风险必须有停损动作</t>
        </is>
      </c>
    </row>
    <row r="8">
      <c r="A8" s="5" t="inlineStr">
        <is>
          <t>贡献利润字段</t>
        </is>
      </c>
      <c r="B8" s="5">
        <f>COUNTIF('02_SHEIN表现记录'!S3:S3,"*贡献利润*")</f>
        <v/>
      </c>
      <c r="C8" s="5" t="inlineStr">
        <is>
          <t>必须存在贡献利润口径</t>
        </is>
      </c>
    </row>
  </sheetData>
  <autoFilter ref="A3:C8"/>
  <pageMargins left="0.75" right="0.75" top="1" bottom="1" header="0.5" footer="0.5"/>
  <pageSetup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2026-06-24T02:28:32Z</dcterms:created>
  <dcterms:modified xmlns:dcterms="http://purl.org/dc/terms/" xmlns:xsi="http://www.w3.org/2001/XMLSchema-instance" xsi:type="dcterms:W3CDTF">2026-06-24T02:28:32Z</dcterms:modified>
</cp:coreProperties>
</file>